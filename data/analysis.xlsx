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kud\Documents\FastFiles\UU\period-1\scientific-perspectives-on-gmt\"/>
    </mc:Choice>
  </mc:AlternateContent>
  <xr:revisionPtr revIDLastSave="0" documentId="13_ncr:1_{3F3E3053-3268-4FBF-90B6-E12191763DBE}" xr6:coauthVersionLast="47" xr6:coauthVersionMax="47" xr10:uidLastSave="{00000000-0000-0000-0000-000000000000}"/>
  <bookViews>
    <workbookView xWindow="-108" yWindow="-108" windowWidth="23256" windowHeight="12456" activeTab="1" xr2:uid="{4F5EFBD5-E055-450B-9CF5-FA643CA5211C}"/>
  </bookViews>
  <sheets>
    <sheet name="Source" sheetId="1" r:id="rId1"/>
    <sheet name="Measurements" sheetId="2" r:id="rId2"/>
    <sheet name="Participan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3" i="2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L12" i="2" s="1"/>
  <c r="K13" i="2"/>
  <c r="L13" i="2" s="1"/>
  <c r="K14" i="2"/>
  <c r="L14" i="2" s="1"/>
  <c r="K15" i="2"/>
  <c r="L15" i="2" s="1"/>
  <c r="K16" i="2"/>
  <c r="L16" i="2" s="1"/>
  <c r="K17" i="2"/>
  <c r="L17" i="2" s="1"/>
  <c r="K18" i="2"/>
  <c r="L18" i="2" s="1"/>
  <c r="K19" i="2"/>
  <c r="L19" i="2" s="1"/>
  <c r="K2" i="2"/>
  <c r="L2" i="2" s="1"/>
</calcChain>
</file>

<file path=xl/sharedStrings.xml><?xml version="1.0" encoding="utf-8"?>
<sst xmlns="http://schemas.openxmlformats.org/spreadsheetml/2006/main" count="90" uniqueCount="43">
  <si>
    <t>Timestamp</t>
  </si>
  <si>
    <t>Your participant ID (ask supervisor)</t>
  </si>
  <si>
    <t>What is your age?</t>
  </si>
  <si>
    <t>Please provide your consent by checking the box below.</t>
  </si>
  <si>
    <t>WPM</t>
  </si>
  <si>
    <t>Accuracy (%)</t>
  </si>
  <si>
    <t>Characters Correct Incorrect Extra Misspelled (e.g 65 0 0 0)</t>
  </si>
  <si>
    <t>Perceived level of comfort</t>
  </si>
  <si>
    <t>P0</t>
  </si>
  <si>
    <t>I give consent to the usage of my participant data in this study., I give consent to video recordings of my participation in this study., I agree to all the conditions under Declaration Of Consent.</t>
  </si>
  <si>
    <t>227 13 10 0</t>
  </si>
  <si>
    <t>210 21 15 0</t>
  </si>
  <si>
    <t>201 22 17 0</t>
  </si>
  <si>
    <t>163 24 21 0</t>
  </si>
  <si>
    <t>186 21 18 0</t>
  </si>
  <si>
    <t>122 45 28 0</t>
  </si>
  <si>
    <t>P1</t>
  </si>
  <si>
    <t>116 64 39 2</t>
  </si>
  <si>
    <t>156 33 21 0</t>
  </si>
  <si>
    <t>93 70 39 3</t>
  </si>
  <si>
    <t>35 84 48 1</t>
  </si>
  <si>
    <t>130 54 44 4</t>
  </si>
  <si>
    <t>83 64 29 16</t>
  </si>
  <si>
    <t>P2</t>
  </si>
  <si>
    <t>213 18 12 1</t>
  </si>
  <si>
    <t>174 26 23 0</t>
  </si>
  <si>
    <t>125 47 30 2</t>
  </si>
  <si>
    <t>118 50 23 9</t>
  </si>
  <si>
    <t>66 69 31 11</t>
  </si>
  <si>
    <t>25 104 42 18</t>
  </si>
  <si>
    <t>Participant ID</t>
  </si>
  <si>
    <t>Visual Latency</t>
  </si>
  <si>
    <t>Accuracy</t>
  </si>
  <si>
    <t>Correct</t>
  </si>
  <si>
    <t>Incorrect</t>
  </si>
  <si>
    <t>Extra</t>
  </si>
  <si>
    <t>Misspelled</t>
  </si>
  <si>
    <t>Comfort</t>
  </si>
  <si>
    <t>PID</t>
  </si>
  <si>
    <t>Age</t>
  </si>
  <si>
    <t>Avg. WPM</t>
  </si>
  <si>
    <t>Normalized WPM</t>
  </si>
  <si>
    <t>UPIDX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</si>
</sst>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22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03DD4-171A-4F4F-8A5C-11D737B5065F}" name="Table1" displayName="Table1" ref="A1:L19" totalsRowShown="0" headerRowDxfId="13" dataDxfId="14">
  <autoFilter ref="A1:L19" xr:uid="{F2603DD4-171A-4F4F-8A5C-11D737B5065F}"/>
  <tableColumns count="12">
    <tableColumn id="1" xr3:uid="{0FC8C607-62CB-4B6B-9179-923696008116}" name="Participant ID" dataDxfId="11"/>
    <tableColumn id="13" xr3:uid="{396E937C-BCA7-4F78-8D17-FB05156A3B85}" name="UPIDX" dataDxfId="10"/>
    <tableColumn id="2" xr3:uid="{61C24B6B-6134-4822-8495-AB162D08D847}" name="Visual Latency" dataDxfId="9"/>
    <tableColumn id="3" xr3:uid="{D89935E7-7CE0-4BA0-91FF-5A8A36056911}" name="WPM" dataDxfId="8"/>
    <tableColumn id="4" xr3:uid="{F8242878-E4E8-4E9D-AEB4-AD73859B0C53}" name="Accuracy" dataDxfId="7"/>
    <tableColumn id="5" xr3:uid="{38211895-9001-4BD8-9B68-B2AA714A8F9D}" name="Correct" dataDxfId="6"/>
    <tableColumn id="6" xr3:uid="{A0C74FF9-73A2-487F-AAE2-D4BA2C124F6B}" name="Incorrect" dataDxfId="5"/>
    <tableColumn id="7" xr3:uid="{CECA364A-6B23-4B2F-9129-D3B36348C99D}" name="Extra" dataDxfId="4"/>
    <tableColumn id="8" xr3:uid="{4FBCAA3D-66CE-461E-BB1C-1D16F9B02837}" name="Misspelled" dataDxfId="3"/>
    <tableColumn id="9" xr3:uid="{D02BBD3C-57FD-44A1-95BE-7107307AB39F}" name="Comfort" dataDxfId="2"/>
    <tableColumn id="10" xr3:uid="{BAD8DC7B-AA8F-4063-8D8E-58A3D76F847B}" name="Avg. WPM" dataDxfId="1">
      <calculatedColumnFormula>AVERAGEIF($A$2:$A$19, A2, $D$2:$D$19)</calculatedColumnFormula>
    </tableColumn>
    <tableColumn id="11" xr3:uid="{3383DCF8-A741-4A15-A2BD-F4DCA1350BF3}" name="Normalized WPM" dataDxfId="0">
      <calculatedColumnFormula>D2/K2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FD31-7575-48BD-801A-7E74319F4D29}">
  <dimension ref="A1:AE4"/>
  <sheetViews>
    <sheetView workbookViewId="0">
      <selection activeCell="I17" sqref="I17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</v>
      </c>
      <c r="J1" t="s">
        <v>5</v>
      </c>
      <c r="K1" t="s">
        <v>6</v>
      </c>
      <c r="L1" t="s">
        <v>7</v>
      </c>
      <c r="M1" t="s">
        <v>4</v>
      </c>
      <c r="N1" t="s">
        <v>5</v>
      </c>
      <c r="O1" t="s">
        <v>6</v>
      </c>
      <c r="P1" t="s">
        <v>7</v>
      </c>
      <c r="Q1" t="s">
        <v>4</v>
      </c>
      <c r="R1" t="s">
        <v>5</v>
      </c>
      <c r="S1" t="s">
        <v>6</v>
      </c>
      <c r="T1" t="s">
        <v>7</v>
      </c>
      <c r="U1" t="s">
        <v>4</v>
      </c>
      <c r="V1" t="s">
        <v>5</v>
      </c>
      <c r="W1" t="s">
        <v>6</v>
      </c>
      <c r="X1" t="s">
        <v>7</v>
      </c>
      <c r="Y1" t="s">
        <v>4</v>
      </c>
      <c r="Z1" t="s">
        <v>5</v>
      </c>
      <c r="AA1" t="s">
        <v>6</v>
      </c>
      <c r="AB1" t="s">
        <v>7</v>
      </c>
      <c r="AC1" t="s">
        <v>4</v>
      </c>
      <c r="AD1" t="s">
        <v>5</v>
      </c>
      <c r="AE1" t="s">
        <v>6</v>
      </c>
    </row>
    <row r="2" spans="1:31" x14ac:dyDescent="0.3">
      <c r="A2" s="1">
        <v>46301.557071759256</v>
      </c>
      <c r="B2" t="s">
        <v>8</v>
      </c>
      <c r="C2">
        <v>21</v>
      </c>
      <c r="D2" t="s">
        <v>9</v>
      </c>
      <c r="E2">
        <v>29</v>
      </c>
      <c r="F2">
        <v>84</v>
      </c>
      <c r="G2" t="s">
        <v>10</v>
      </c>
      <c r="H2">
        <v>3</v>
      </c>
      <c r="I2">
        <v>25</v>
      </c>
      <c r="J2">
        <v>83</v>
      </c>
      <c r="K2" t="s">
        <v>11</v>
      </c>
      <c r="L2">
        <v>2</v>
      </c>
      <c r="M2">
        <v>29</v>
      </c>
      <c r="N2">
        <v>86</v>
      </c>
      <c r="O2" t="s">
        <v>12</v>
      </c>
      <c r="P2">
        <v>3</v>
      </c>
      <c r="Q2">
        <v>28</v>
      </c>
      <c r="R2">
        <v>86</v>
      </c>
      <c r="S2" t="s">
        <v>13</v>
      </c>
      <c r="T2">
        <v>2</v>
      </c>
      <c r="U2">
        <v>32</v>
      </c>
      <c r="V2">
        <v>90</v>
      </c>
      <c r="W2" t="s">
        <v>14</v>
      </c>
      <c r="X2">
        <v>3</v>
      </c>
      <c r="Y2">
        <v>10</v>
      </c>
      <c r="Z2">
        <v>80</v>
      </c>
      <c r="AA2" t="s">
        <v>15</v>
      </c>
      <c r="AB2">
        <v>1</v>
      </c>
    </row>
    <row r="3" spans="1:31" x14ac:dyDescent="0.3">
      <c r="A3" s="1">
        <v>46301.568043981482</v>
      </c>
      <c r="B3" t="s">
        <v>16</v>
      </c>
      <c r="C3">
        <v>26</v>
      </c>
      <c r="D3" t="s">
        <v>9</v>
      </c>
      <c r="E3">
        <v>18</v>
      </c>
      <c r="F3">
        <v>73</v>
      </c>
      <c r="G3" t="s">
        <v>17</v>
      </c>
      <c r="H3">
        <v>4</v>
      </c>
      <c r="I3">
        <v>29</v>
      </c>
      <c r="J3">
        <v>86</v>
      </c>
      <c r="K3" t="s">
        <v>18</v>
      </c>
      <c r="L3">
        <v>4</v>
      </c>
      <c r="M3">
        <v>14</v>
      </c>
      <c r="N3">
        <v>71</v>
      </c>
      <c r="O3" t="s">
        <v>19</v>
      </c>
      <c r="P3">
        <v>2</v>
      </c>
      <c r="Q3">
        <v>5</v>
      </c>
      <c r="R3">
        <v>66</v>
      </c>
      <c r="S3" t="s">
        <v>20</v>
      </c>
      <c r="T3">
        <v>3</v>
      </c>
      <c r="U3">
        <v>18</v>
      </c>
      <c r="V3">
        <v>71</v>
      </c>
      <c r="W3" t="s">
        <v>21</v>
      </c>
      <c r="X3">
        <v>3</v>
      </c>
      <c r="Y3">
        <v>13</v>
      </c>
      <c r="Z3">
        <v>75</v>
      </c>
      <c r="AA3" t="s">
        <v>22</v>
      </c>
      <c r="AB3">
        <v>1</v>
      </c>
    </row>
    <row r="4" spans="1:31" x14ac:dyDescent="0.3">
      <c r="A4" s="1">
        <v>46301.595555555556</v>
      </c>
      <c r="B4" t="s">
        <v>23</v>
      </c>
      <c r="C4">
        <v>25</v>
      </c>
      <c r="D4" t="s">
        <v>9</v>
      </c>
      <c r="E4">
        <v>16</v>
      </c>
      <c r="F4">
        <v>89</v>
      </c>
      <c r="G4" t="s">
        <v>24</v>
      </c>
      <c r="H4">
        <v>3</v>
      </c>
      <c r="I4">
        <v>12</v>
      </c>
      <c r="J4">
        <v>86</v>
      </c>
      <c r="K4" t="s">
        <v>25</v>
      </c>
      <c r="L4">
        <v>3</v>
      </c>
      <c r="M4">
        <v>8</v>
      </c>
      <c r="N4">
        <v>77</v>
      </c>
      <c r="O4" t="s">
        <v>26</v>
      </c>
      <c r="P4">
        <v>2</v>
      </c>
      <c r="Q4">
        <v>6</v>
      </c>
      <c r="R4">
        <v>78</v>
      </c>
      <c r="S4" t="s">
        <v>27</v>
      </c>
      <c r="T4">
        <v>2</v>
      </c>
      <c r="U4">
        <v>4</v>
      </c>
      <c r="V4">
        <v>70</v>
      </c>
      <c r="W4" t="s">
        <v>28</v>
      </c>
      <c r="X4">
        <v>2</v>
      </c>
      <c r="Y4">
        <v>1</v>
      </c>
      <c r="Z4">
        <v>60</v>
      </c>
      <c r="AA4" t="s">
        <v>29</v>
      </c>
      <c r="AB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1040-3781-44DC-8C6D-73543B5F2249}">
  <dimension ref="A1:M19"/>
  <sheetViews>
    <sheetView tabSelected="1" workbookViewId="0">
      <selection activeCell="F23" sqref="F23"/>
    </sheetView>
  </sheetViews>
  <sheetFormatPr defaultRowHeight="14.4" x14ac:dyDescent="0.3"/>
  <cols>
    <col min="1" max="1" width="14.21875" customWidth="1"/>
    <col min="2" max="2" width="8.5546875" bestFit="1" customWidth="1"/>
    <col min="3" max="3" width="14.88671875" customWidth="1"/>
    <col min="4" max="4" width="7.5546875" customWidth="1"/>
    <col min="5" max="5" width="10.5546875" customWidth="1"/>
    <col min="6" max="6" width="9" customWidth="1"/>
    <col min="7" max="7" width="10.44140625" customWidth="1"/>
    <col min="8" max="8" width="7.109375" customWidth="1"/>
    <col min="9" max="9" width="11.77734375" customWidth="1"/>
    <col min="10" max="10" width="9.88671875" customWidth="1"/>
    <col min="11" max="11" width="12" bestFit="1" customWidth="1"/>
    <col min="12" max="12" width="17.5546875" customWidth="1"/>
  </cols>
  <sheetData>
    <row r="1" spans="1:13" s="4" customFormat="1" x14ac:dyDescent="0.3">
      <c r="A1" s="3" t="s">
        <v>30</v>
      </c>
      <c r="B1" s="3" t="s">
        <v>42</v>
      </c>
      <c r="C1" s="3" t="s">
        <v>31</v>
      </c>
      <c r="D1" s="3" t="s">
        <v>4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40</v>
      </c>
      <c r="L1" s="3" t="s">
        <v>41</v>
      </c>
      <c r="M1" s="3"/>
    </row>
    <row r="2" spans="1:13" x14ac:dyDescent="0.3">
      <c r="A2" s="5" t="s">
        <v>8</v>
      </c>
      <c r="B2" s="6">
        <v>0</v>
      </c>
      <c r="C2" s="6">
        <v>0</v>
      </c>
      <c r="D2" s="6">
        <v>29</v>
      </c>
      <c r="E2" s="6">
        <v>84</v>
      </c>
      <c r="F2" s="6">
        <v>227</v>
      </c>
      <c r="G2" s="6">
        <v>13</v>
      </c>
      <c r="H2" s="6">
        <v>10</v>
      </c>
      <c r="I2" s="6">
        <v>0</v>
      </c>
      <c r="J2" s="6">
        <v>3</v>
      </c>
      <c r="K2" s="7">
        <f>AVERAGEIF($A$2:$A$19, A2, $D$2:$D$19)</f>
        <v>25.5</v>
      </c>
      <c r="L2" s="8">
        <f>D2/K2</f>
        <v>1.1372549019607843</v>
      </c>
      <c r="M2" s="2"/>
    </row>
    <row r="3" spans="1:13" x14ac:dyDescent="0.3">
      <c r="A3" s="9" t="s">
        <v>8</v>
      </c>
      <c r="B3" s="10">
        <f>IF(Table1[[#This Row],[Participant ID]]=A2, B2,B2+1)</f>
        <v>0</v>
      </c>
      <c r="C3" s="10">
        <v>25</v>
      </c>
      <c r="D3" s="10">
        <v>25</v>
      </c>
      <c r="E3" s="10">
        <v>83</v>
      </c>
      <c r="F3" s="10">
        <v>210</v>
      </c>
      <c r="G3" s="10">
        <v>21</v>
      </c>
      <c r="H3" s="10">
        <v>15</v>
      </c>
      <c r="I3" s="10">
        <v>0</v>
      </c>
      <c r="J3" s="10">
        <v>2</v>
      </c>
      <c r="K3" s="11">
        <f t="shared" ref="K3:K19" si="0">AVERAGEIF($A$2:$A$19, A3, $D$2:$D$19)</f>
        <v>25.5</v>
      </c>
      <c r="L3" s="12">
        <f t="shared" ref="L3:L19" si="1">D3/K3</f>
        <v>0.98039215686274506</v>
      </c>
      <c r="M3" s="2"/>
    </row>
    <row r="4" spans="1:13" x14ac:dyDescent="0.3">
      <c r="A4" s="9" t="s">
        <v>8</v>
      </c>
      <c r="B4" s="10">
        <f>IF(Table1[[#This Row],[Participant ID]]=A3, B3,B3+1)</f>
        <v>0</v>
      </c>
      <c r="C4" s="10">
        <v>50</v>
      </c>
      <c r="D4" s="10">
        <v>29</v>
      </c>
      <c r="E4" s="10">
        <v>86</v>
      </c>
      <c r="F4" s="10">
        <v>201</v>
      </c>
      <c r="G4" s="10">
        <v>22</v>
      </c>
      <c r="H4" s="10">
        <v>17</v>
      </c>
      <c r="I4" s="10">
        <v>0</v>
      </c>
      <c r="J4" s="10">
        <v>3</v>
      </c>
      <c r="K4" s="11">
        <f t="shared" si="0"/>
        <v>25.5</v>
      </c>
      <c r="L4" s="12">
        <f t="shared" si="1"/>
        <v>1.1372549019607843</v>
      </c>
      <c r="M4" s="2"/>
    </row>
    <row r="5" spans="1:13" x14ac:dyDescent="0.3">
      <c r="A5" s="9" t="s">
        <v>8</v>
      </c>
      <c r="B5" s="10">
        <f>IF(Table1[[#This Row],[Participant ID]]=A4, B4,B4+1)</f>
        <v>0</v>
      </c>
      <c r="C5" s="10">
        <v>75</v>
      </c>
      <c r="D5" s="10">
        <v>28</v>
      </c>
      <c r="E5" s="10">
        <v>86</v>
      </c>
      <c r="F5" s="10">
        <v>163</v>
      </c>
      <c r="G5" s="10">
        <v>24</v>
      </c>
      <c r="H5" s="10">
        <v>21</v>
      </c>
      <c r="I5" s="10">
        <v>0</v>
      </c>
      <c r="J5" s="10">
        <v>2</v>
      </c>
      <c r="K5" s="11">
        <f t="shared" si="0"/>
        <v>25.5</v>
      </c>
      <c r="L5" s="12">
        <f t="shared" si="1"/>
        <v>1.0980392156862746</v>
      </c>
      <c r="M5" s="2"/>
    </row>
    <row r="6" spans="1:13" x14ac:dyDescent="0.3">
      <c r="A6" s="9" t="s">
        <v>8</v>
      </c>
      <c r="B6" s="10">
        <f>IF(Table1[[#This Row],[Participant ID]]=A5, B5,B5+1)</f>
        <v>0</v>
      </c>
      <c r="C6" s="10">
        <v>100</v>
      </c>
      <c r="D6" s="10">
        <v>32</v>
      </c>
      <c r="E6" s="10">
        <v>90</v>
      </c>
      <c r="F6" s="10">
        <v>186</v>
      </c>
      <c r="G6" s="10">
        <v>21</v>
      </c>
      <c r="H6" s="10">
        <v>18</v>
      </c>
      <c r="I6" s="10">
        <v>0</v>
      </c>
      <c r="J6" s="10">
        <v>3</v>
      </c>
      <c r="K6" s="11">
        <f t="shared" si="0"/>
        <v>25.5</v>
      </c>
      <c r="L6" s="12">
        <f t="shared" si="1"/>
        <v>1.2549019607843137</v>
      </c>
      <c r="M6" s="2"/>
    </row>
    <row r="7" spans="1:13" x14ac:dyDescent="0.3">
      <c r="A7" s="9" t="s">
        <v>8</v>
      </c>
      <c r="B7" s="10">
        <f>IF(Table1[[#This Row],[Participant ID]]=A6, B6,B6+1)</f>
        <v>0</v>
      </c>
      <c r="C7" s="10">
        <v>200</v>
      </c>
      <c r="D7" s="10">
        <v>10</v>
      </c>
      <c r="E7" s="10">
        <v>80</v>
      </c>
      <c r="F7" s="10">
        <v>122</v>
      </c>
      <c r="G7" s="10">
        <v>45</v>
      </c>
      <c r="H7" s="10">
        <v>28</v>
      </c>
      <c r="I7" s="10">
        <v>0</v>
      </c>
      <c r="J7" s="10">
        <v>1</v>
      </c>
      <c r="K7" s="11">
        <f t="shared" si="0"/>
        <v>25.5</v>
      </c>
      <c r="L7" s="12">
        <f t="shared" si="1"/>
        <v>0.39215686274509803</v>
      </c>
      <c r="M7" s="2"/>
    </row>
    <row r="8" spans="1:13" x14ac:dyDescent="0.3">
      <c r="A8" s="9" t="s">
        <v>16</v>
      </c>
      <c r="B8" s="10">
        <f>IF(Table1[[#This Row],[Participant ID]]=A7, B7,B7+1)</f>
        <v>1</v>
      </c>
      <c r="C8" s="10">
        <v>0</v>
      </c>
      <c r="D8" s="10">
        <v>18</v>
      </c>
      <c r="E8" s="10">
        <v>73</v>
      </c>
      <c r="F8" s="10">
        <v>116</v>
      </c>
      <c r="G8" s="10">
        <v>64</v>
      </c>
      <c r="H8" s="10">
        <v>39</v>
      </c>
      <c r="I8" s="10">
        <v>2</v>
      </c>
      <c r="J8" s="10">
        <v>4</v>
      </c>
      <c r="K8" s="11">
        <f t="shared" si="0"/>
        <v>16.166666666666668</v>
      </c>
      <c r="L8" s="12">
        <f t="shared" si="1"/>
        <v>1.1134020618556699</v>
      </c>
      <c r="M8" s="2"/>
    </row>
    <row r="9" spans="1:13" x14ac:dyDescent="0.3">
      <c r="A9" s="9" t="s">
        <v>16</v>
      </c>
      <c r="B9" s="10">
        <f>IF(Table1[[#This Row],[Participant ID]]=A8, B8,B8+1)</f>
        <v>1</v>
      </c>
      <c r="C9" s="10">
        <v>25</v>
      </c>
      <c r="D9" s="10">
        <v>29</v>
      </c>
      <c r="E9" s="10">
        <v>86</v>
      </c>
      <c r="F9" s="10">
        <v>156</v>
      </c>
      <c r="G9" s="10">
        <v>33</v>
      </c>
      <c r="H9" s="10">
        <v>21</v>
      </c>
      <c r="I9" s="10">
        <v>0</v>
      </c>
      <c r="J9" s="10">
        <v>4</v>
      </c>
      <c r="K9" s="11">
        <f t="shared" si="0"/>
        <v>16.166666666666668</v>
      </c>
      <c r="L9" s="12">
        <f t="shared" si="1"/>
        <v>1.7938144329896906</v>
      </c>
      <c r="M9" s="2"/>
    </row>
    <row r="10" spans="1:13" x14ac:dyDescent="0.3">
      <c r="A10" s="9" t="s">
        <v>16</v>
      </c>
      <c r="B10" s="10">
        <f>IF(Table1[[#This Row],[Participant ID]]=A9, B9,B9+1)</f>
        <v>1</v>
      </c>
      <c r="C10" s="10">
        <v>50</v>
      </c>
      <c r="D10" s="10">
        <v>14</v>
      </c>
      <c r="E10" s="10">
        <v>71</v>
      </c>
      <c r="F10" s="10">
        <v>93</v>
      </c>
      <c r="G10" s="10">
        <v>70</v>
      </c>
      <c r="H10" s="10">
        <v>39</v>
      </c>
      <c r="I10" s="10">
        <v>3</v>
      </c>
      <c r="J10" s="10">
        <v>2</v>
      </c>
      <c r="K10" s="11">
        <f t="shared" si="0"/>
        <v>16.166666666666668</v>
      </c>
      <c r="L10" s="12">
        <f t="shared" si="1"/>
        <v>0.86597938144329889</v>
      </c>
      <c r="M10" s="2"/>
    </row>
    <row r="11" spans="1:13" x14ac:dyDescent="0.3">
      <c r="A11" s="9" t="s">
        <v>16</v>
      </c>
      <c r="B11" s="10">
        <f>IF(Table1[[#This Row],[Participant ID]]=A10, B10,B10+1)</f>
        <v>1</v>
      </c>
      <c r="C11" s="10">
        <v>75</v>
      </c>
      <c r="D11" s="10">
        <v>5</v>
      </c>
      <c r="E11" s="10">
        <v>66</v>
      </c>
      <c r="F11" s="10">
        <v>35</v>
      </c>
      <c r="G11" s="10">
        <v>84</v>
      </c>
      <c r="H11" s="10">
        <v>48</v>
      </c>
      <c r="I11" s="10">
        <v>1</v>
      </c>
      <c r="J11" s="10">
        <v>3</v>
      </c>
      <c r="K11" s="11">
        <f t="shared" si="0"/>
        <v>16.166666666666668</v>
      </c>
      <c r="L11" s="12">
        <f t="shared" si="1"/>
        <v>0.30927835051546387</v>
      </c>
      <c r="M11" s="2"/>
    </row>
    <row r="12" spans="1:13" x14ac:dyDescent="0.3">
      <c r="A12" s="9" t="s">
        <v>16</v>
      </c>
      <c r="B12" s="10">
        <f>IF(Table1[[#This Row],[Participant ID]]=A11, B11,B11+1)</f>
        <v>1</v>
      </c>
      <c r="C12" s="10">
        <v>100</v>
      </c>
      <c r="D12" s="10">
        <v>18</v>
      </c>
      <c r="E12" s="10">
        <v>71</v>
      </c>
      <c r="F12" s="10">
        <v>130</v>
      </c>
      <c r="G12" s="10">
        <v>54</v>
      </c>
      <c r="H12" s="10">
        <v>44</v>
      </c>
      <c r="I12" s="10">
        <v>4</v>
      </c>
      <c r="J12" s="10">
        <v>3</v>
      </c>
      <c r="K12" s="11">
        <f t="shared" si="0"/>
        <v>16.166666666666668</v>
      </c>
      <c r="L12" s="12">
        <f t="shared" si="1"/>
        <v>1.1134020618556699</v>
      </c>
      <c r="M12" s="2"/>
    </row>
    <row r="13" spans="1:13" x14ac:dyDescent="0.3">
      <c r="A13" s="9" t="s">
        <v>16</v>
      </c>
      <c r="B13" s="10">
        <f>IF(Table1[[#This Row],[Participant ID]]=A12, B12,B12+1)</f>
        <v>1</v>
      </c>
      <c r="C13" s="10">
        <v>200</v>
      </c>
      <c r="D13" s="10">
        <v>13</v>
      </c>
      <c r="E13" s="10">
        <v>75</v>
      </c>
      <c r="F13" s="10">
        <v>83</v>
      </c>
      <c r="G13" s="10">
        <v>64</v>
      </c>
      <c r="H13" s="10">
        <v>29</v>
      </c>
      <c r="I13" s="10">
        <v>16</v>
      </c>
      <c r="J13" s="10">
        <v>1</v>
      </c>
      <c r="K13" s="11">
        <f t="shared" si="0"/>
        <v>16.166666666666668</v>
      </c>
      <c r="L13" s="12">
        <f t="shared" si="1"/>
        <v>0.8041237113402061</v>
      </c>
      <c r="M13" s="2"/>
    </row>
    <row r="14" spans="1:13" x14ac:dyDescent="0.3">
      <c r="A14" s="9" t="s">
        <v>23</v>
      </c>
      <c r="B14" s="10">
        <f>IF(Table1[[#This Row],[Participant ID]]=A13, B13,B13+1)</f>
        <v>2</v>
      </c>
      <c r="C14" s="10">
        <v>0</v>
      </c>
      <c r="D14" s="10">
        <v>16</v>
      </c>
      <c r="E14" s="10">
        <v>89</v>
      </c>
      <c r="F14" s="10">
        <v>213</v>
      </c>
      <c r="G14" s="10">
        <v>18</v>
      </c>
      <c r="H14" s="10">
        <v>12</v>
      </c>
      <c r="I14" s="10">
        <v>1</v>
      </c>
      <c r="J14" s="10">
        <v>3</v>
      </c>
      <c r="K14" s="11">
        <f t="shared" si="0"/>
        <v>7.833333333333333</v>
      </c>
      <c r="L14" s="12">
        <f t="shared" si="1"/>
        <v>2.042553191489362</v>
      </c>
      <c r="M14" s="2"/>
    </row>
    <row r="15" spans="1:13" x14ac:dyDescent="0.3">
      <c r="A15" s="9" t="s">
        <v>23</v>
      </c>
      <c r="B15" s="10">
        <f>IF(Table1[[#This Row],[Participant ID]]=A14, B14,B14+1)</f>
        <v>2</v>
      </c>
      <c r="C15" s="10">
        <v>25</v>
      </c>
      <c r="D15" s="10">
        <v>12</v>
      </c>
      <c r="E15" s="10">
        <v>86</v>
      </c>
      <c r="F15" s="10">
        <v>174</v>
      </c>
      <c r="G15" s="10">
        <v>26</v>
      </c>
      <c r="H15" s="10">
        <v>23</v>
      </c>
      <c r="I15" s="10">
        <v>0</v>
      </c>
      <c r="J15" s="10">
        <v>3</v>
      </c>
      <c r="K15" s="11">
        <f t="shared" si="0"/>
        <v>7.833333333333333</v>
      </c>
      <c r="L15" s="12">
        <f t="shared" si="1"/>
        <v>1.5319148936170213</v>
      </c>
      <c r="M15" s="2"/>
    </row>
    <row r="16" spans="1:13" x14ac:dyDescent="0.3">
      <c r="A16" s="9" t="s">
        <v>23</v>
      </c>
      <c r="B16" s="10">
        <f>IF(Table1[[#This Row],[Participant ID]]=A15, B15,B15+1)</f>
        <v>2</v>
      </c>
      <c r="C16" s="10">
        <v>50</v>
      </c>
      <c r="D16" s="10">
        <v>8</v>
      </c>
      <c r="E16" s="10">
        <v>77</v>
      </c>
      <c r="F16" s="10">
        <v>125</v>
      </c>
      <c r="G16" s="10">
        <v>47</v>
      </c>
      <c r="H16" s="10">
        <v>30</v>
      </c>
      <c r="I16" s="10">
        <v>2</v>
      </c>
      <c r="J16" s="10">
        <v>2</v>
      </c>
      <c r="K16" s="11">
        <f t="shared" si="0"/>
        <v>7.833333333333333</v>
      </c>
      <c r="L16" s="12">
        <f t="shared" si="1"/>
        <v>1.021276595744681</v>
      </c>
      <c r="M16" s="2"/>
    </row>
    <row r="17" spans="1:13" x14ac:dyDescent="0.3">
      <c r="A17" s="9" t="s">
        <v>23</v>
      </c>
      <c r="B17" s="10">
        <f>IF(Table1[[#This Row],[Participant ID]]=A16, B16,B16+1)</f>
        <v>2</v>
      </c>
      <c r="C17" s="10">
        <v>75</v>
      </c>
      <c r="D17" s="10">
        <v>6</v>
      </c>
      <c r="E17" s="10">
        <v>78</v>
      </c>
      <c r="F17" s="10">
        <v>118</v>
      </c>
      <c r="G17" s="10">
        <v>50</v>
      </c>
      <c r="H17" s="10">
        <v>23</v>
      </c>
      <c r="I17" s="10">
        <v>9</v>
      </c>
      <c r="J17" s="10">
        <v>2</v>
      </c>
      <c r="K17" s="11">
        <f t="shared" si="0"/>
        <v>7.833333333333333</v>
      </c>
      <c r="L17" s="12">
        <f t="shared" si="1"/>
        <v>0.76595744680851063</v>
      </c>
      <c r="M17" s="2"/>
    </row>
    <row r="18" spans="1:13" x14ac:dyDescent="0.3">
      <c r="A18" s="9" t="s">
        <v>23</v>
      </c>
      <c r="B18" s="10">
        <f>IF(Table1[[#This Row],[Participant ID]]=A17, B17,B17+1)</f>
        <v>2</v>
      </c>
      <c r="C18" s="10">
        <v>100</v>
      </c>
      <c r="D18" s="10">
        <v>4</v>
      </c>
      <c r="E18" s="10">
        <v>70</v>
      </c>
      <c r="F18" s="10">
        <v>66</v>
      </c>
      <c r="G18" s="10">
        <v>69</v>
      </c>
      <c r="H18" s="10">
        <v>31</v>
      </c>
      <c r="I18" s="10">
        <v>11</v>
      </c>
      <c r="J18" s="10">
        <v>2</v>
      </c>
      <c r="K18" s="11">
        <f t="shared" si="0"/>
        <v>7.833333333333333</v>
      </c>
      <c r="L18" s="12">
        <f t="shared" si="1"/>
        <v>0.5106382978723405</v>
      </c>
      <c r="M18" s="2"/>
    </row>
    <row r="19" spans="1:13" x14ac:dyDescent="0.3">
      <c r="A19" s="13" t="s">
        <v>23</v>
      </c>
      <c r="B19" s="14">
        <f>IF(Table1[[#This Row],[Participant ID]]=A18, B18,B18+1)</f>
        <v>2</v>
      </c>
      <c r="C19" s="14">
        <v>200</v>
      </c>
      <c r="D19" s="14">
        <v>1</v>
      </c>
      <c r="E19" s="14">
        <v>60</v>
      </c>
      <c r="F19" s="14">
        <v>25</v>
      </c>
      <c r="G19" s="14">
        <v>104</v>
      </c>
      <c r="H19" s="14">
        <v>42</v>
      </c>
      <c r="I19" s="14">
        <v>18</v>
      </c>
      <c r="J19" s="14">
        <v>2</v>
      </c>
      <c r="K19" s="15">
        <f t="shared" si="0"/>
        <v>7.833333333333333</v>
      </c>
      <c r="L19" s="16">
        <f t="shared" si="1"/>
        <v>0.12765957446808512</v>
      </c>
      <c r="M19" s="2"/>
    </row>
  </sheetData>
  <phoneticPr fontId="1" type="noConversion"/>
  <conditionalFormatting sqref="A2:L19">
    <cfRule type="expression" dxfId="12" priority="1">
      <formula>MOD($B2, 2)=0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5E48-BB56-40E7-96D8-B4738E294738}">
  <dimension ref="A1:B4"/>
  <sheetViews>
    <sheetView workbookViewId="0">
      <selection activeCell="G10" sqref="G10"/>
    </sheetView>
  </sheetViews>
  <sheetFormatPr defaultRowHeight="14.4" x14ac:dyDescent="0.3"/>
  <sheetData>
    <row r="1" spans="1:2" x14ac:dyDescent="0.3">
      <c r="A1" t="s">
        <v>38</v>
      </c>
      <c r="B1" t="s">
        <v>39</v>
      </c>
    </row>
    <row r="2" spans="1:2" x14ac:dyDescent="0.3">
      <c r="A2" t="s">
        <v>8</v>
      </c>
      <c r="B2">
        <v>21</v>
      </c>
    </row>
    <row r="3" spans="1:2" x14ac:dyDescent="0.3">
      <c r="A3" t="s">
        <v>16</v>
      </c>
      <c r="B3">
        <v>26</v>
      </c>
    </row>
    <row r="4" spans="1:2" x14ac:dyDescent="0.3">
      <c r="A4" t="s">
        <v>23</v>
      </c>
      <c r="B4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</vt:lpstr>
      <vt:lpstr>Measurements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Кудряшов</dc:creator>
  <cp:lastModifiedBy>Илья Кудряшов</cp:lastModifiedBy>
  <dcterms:created xsi:type="dcterms:W3CDTF">2026-10-06T14:13:46Z</dcterms:created>
  <dcterms:modified xsi:type="dcterms:W3CDTF">2026-10-06T15:17:04Z</dcterms:modified>
</cp:coreProperties>
</file>